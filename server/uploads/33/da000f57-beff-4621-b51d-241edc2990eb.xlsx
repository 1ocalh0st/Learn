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概览" sheetId="8" r:id="rId1"/>
    <sheet name="环境信息" sheetId="1" r:id="rId2"/>
    <sheet name="缺陷汇总(BUG)" sheetId="4" r:id="rId3"/>
    <sheet name="执行记录" sheetId="2" r:id="rId4"/>
    <sheet name="用例统计" sheetId="3" r:id="rId5"/>
    <sheet name="风险与建议" sheetId="5" r:id="rId6"/>
    <sheet name="模块覆盖" sheetId="6" r:id="rId7"/>
    <sheet name="附_Allure粘贴(可选)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<sst xmlns="http://schemas.openxmlformats.org/spreadsheetml/2006/main" count="375" uniqueCount="266">
  <si>
    <t>测试报告</t>
  </si>
  <si>
    <t>📌 项目信息</t>
  </si>
  <si>
    <t>🧪 执行摘要</t>
  </si>
  <si>
    <t>项目名称</t>
  </si>
  <si>
    <t>用例总数</t>
  </si>
  <si>
    <t>版本号</t>
  </si>
  <si>
    <t>通过</t>
  </si>
  <si>
    <t>测试阶段</t>
  </si>
  <si>
    <t>失败</t>
  </si>
  <si>
    <t>测试时间</t>
  </si>
  <si>
    <t>阻塞</t>
  </si>
  <si>
    <t>负责人</t>
  </si>
  <si>
    <t>跳过</t>
  </si>
  <si>
    <t>📈 通过率（排除跳过）</t>
  </si>
  <si>
    <t>🐞 缺陷摘要</t>
  </si>
  <si>
    <t>注：如需以 Allure 为准，请到“附：Allure粘贴(可选)”填写指标。</t>
  </si>
  <si>
    <t>缺陷总数</t>
  </si>
  <si>
    <t>未关闭（确认修复）</t>
  </si>
  <si>
    <t>📜 备注：</t>
  </si>
  <si>
    <t>1）将实际测试数据填写到“执行记录”和“缺陷汇总(BUG)”页，概览会自动更新。
2）在“用例统计”页的A列填模块名，可自动汇总该模块通过率。
3）如需提交管理层，请导出为PDF，并附上 Allure 报告作为技术附件。</t>
  </si>
  <si>
    <t>环境信息 / 项目元数据（填写本页，概览
将自动汇总）</t>
  </si>
  <si>
    <t>字段</t>
  </si>
  <si>
    <t>填写</t>
  </si>
  <si>
    <t>事项计划模块测试</t>
  </si>
  <si>
    <t>被测范围（模块）</t>
  </si>
  <si>
    <t>测试类型</t>
  </si>
  <si>
    <t>功能/接口/回归/</t>
  </si>
  <si>
    <t>单元/集成/系统/验收</t>
  </si>
  <si>
    <t>测试环境地址</t>
  </si>
  <si>
    <t>后端版本/分支</t>
  </si>
  <si>
    <t>数据库/版本</t>
  </si>
  <si>
    <t>客户端设备/系统</t>
  </si>
  <si>
    <t>测试起止日期</t>
  </si>
  <si>
    <t>2025.10.14-2025.10.17</t>
  </si>
  <si>
    <t>测试负责人</t>
  </si>
  <si>
    <t>柯锦鸿</t>
  </si>
  <si>
    <t>测试参与人员</t>
  </si>
  <si>
    <t>使用框架与工具</t>
  </si>
  <si>
    <t xml:space="preserve">pytest + requests + allure / postman </t>
  </si>
  <si>
    <t>Allure报告路径(可选)</t>
  </si>
  <si>
    <t>例如：reports/allure-report/index.html</t>
  </si>
  <si>
    <t>备注</t>
  </si>
  <si>
    <t>BUG编号</t>
  </si>
  <si>
    <t>模块</t>
  </si>
  <si>
    <t>严重程度</t>
  </si>
  <si>
    <t>优先级</t>
  </si>
  <si>
    <t>标题</t>
  </si>
  <si>
    <t>复现步骤</t>
  </si>
  <si>
    <t>期望结果</t>
  </si>
  <si>
    <t>实际结果</t>
  </si>
  <si>
    <t>截图/证据（链接）</t>
  </si>
  <si>
    <t>责任人</t>
  </si>
  <si>
    <t>状态</t>
  </si>
  <si>
    <t>创建日期</t>
  </si>
  <si>
    <t>修复版本</t>
  </si>
  <si>
    <t>BUG-001</t>
  </si>
  <si>
    <t>事项单</t>
  </si>
  <si>
    <t>催办参数异常</t>
  </si>
  <si>
    <t>事项操作里点催办</t>
  </si>
  <si>
    <t>返回200，操作成功</t>
  </si>
  <si>
    <t>参数校验异常，返回400</t>
  </si>
  <si>
    <t>前端开发</t>
  </si>
  <si>
    <t>关闭</t>
  </si>
  <si>
    <t>BUG-002</t>
  </si>
  <si>
    <t>处理时限显示异常</t>
  </si>
  <si>
    <t>事项截止时间设置为今天以前</t>
  </si>
  <si>
    <t>显示超期</t>
  </si>
  <si>
    <t>仍显示未超期</t>
  </si>
  <si>
    <t>后端开发</t>
  </si>
  <si>
    <t>BUG-003</t>
  </si>
  <si>
    <t>内部管理事项、跨部门协作事项、生产任务事项里，发起事项中备注为必填项</t>
  </si>
  <si>
    <t>①内部管理事项、跨部门协作事项、生产任务事项里点发起事项，其他填好
②不填备注
③提交</t>
  </si>
  <si>
    <t>不用输入备注即可提交</t>
  </si>
  <si>
    <t>备注显示“请输入备注”</t>
  </si>
  <si>
    <t>BUG-004</t>
  </si>
  <si>
    <t>调用移除执行人接口异常，</t>
  </si>
  <si>
    <t>postman传任务的executeId</t>
  </si>
  <si>
    <t>{
    "msg": "操作成功",
    "code": 200
}</t>
  </si>
  <si>
    <t>返回
{
    "msg": "发生未知异常",
    "code": 400
}</t>
  </si>
  <si>
    <t>BUG-005</t>
  </si>
  <si>
    <t>前端没有移除执行人按键</t>
  </si>
  <si>
    <t>点击任务详情界面</t>
  </si>
  <si>
    <t>点击移除可移除执行人</t>
  </si>
  <si>
    <t>没有移除执行人按键</t>
  </si>
  <si>
    <t>BUG-006</t>
  </si>
  <si>
    <t>移除执行人按键无效</t>
  </si>
  <si>
    <t>任务详情界面内执行人部分，点击移除</t>
  </si>
  <si>
    <t>成功移除</t>
  </si>
  <si>
    <t>没反应</t>
  </si>
  <si>
    <t>BUG-007</t>
  </si>
  <si>
    <t>不是审批人调接口也能审批</t>
  </si>
  <si>
    <t>postman调用/task/audit接口审批审批人不为自己的事项</t>
  </si>
  <si>
    <t>不可审批</t>
  </si>
  <si>
    <t>通过调整参数决定审批结果
{
    "msg": "操作成功",
    "code": 200
}</t>
  </si>
  <si>
    <t>BUG-008</t>
  </si>
  <si>
    <t>事件详情里，文件预览为空</t>
  </si>
  <si>
    <t>事项详情里点附件</t>
  </si>
  <si>
    <t>有文件预览</t>
  </si>
  <si>
    <t>没有文件</t>
  </si>
  <si>
    <t>BUG-009</t>
  </si>
  <si>
    <t>没填审批人仍能发起事项</t>
  </si>
  <si>
    <t>零星事项发起事项</t>
  </si>
  <si>
    <t>前端提示“零星事项需要至少添加一位审批人！”</t>
  </si>
  <si>
    <t>发起成功</t>
  </si>
  <si>
    <t>BUG-010</t>
  </si>
  <si>
    <t>审批人看不到执行人提交的文件</t>
  </si>
  <si>
    <t>审批人点击详情查看执行人提交的附件</t>
  </si>
  <si>
    <t>BUG-011</t>
  </si>
  <si>
    <t>事项状态显示异常</t>
  </si>
  <si>
    <t>在任务列表里点击完结</t>
  </si>
  <si>
    <t>显示已完结</t>
  </si>
  <si>
    <t>显示已完成</t>
  </si>
  <si>
    <t>BUG-012</t>
  </si>
  <si>
    <t>内部管理事项可以添加空审批</t>
  </si>
  <si>
    <t>内部管理事项发起事项，填好必填项，新增空的审批人</t>
  </si>
  <si>
    <t>没有审批人，跳过审批流程</t>
  </si>
  <si>
    <t>发起成功，且显示审批人为空</t>
  </si>
  <si>
    <t>BUG-013</t>
  </si>
  <si>
    <t>事项详情执行情况显示异常</t>
  </si>
  <si>
    <t>行政综合事项详情里，执行人提交后，发起人查看执行情况，执行人操作栏显示异常</t>
  </si>
  <si>
    <t>变更、退回、移除显示正常</t>
  </si>
  <si>
    <t>变更、退回、移除显示异常，难以定位</t>
  </si>
  <si>
    <t>Case ID</t>
  </si>
  <si>
    <t>用例标题</t>
  </si>
  <si>
    <t>类型</t>
  </si>
  <si>
    <t>前置条件</t>
  </si>
  <si>
    <t>步骤</t>
  </si>
  <si>
    <t>预期结果</t>
  </si>
  <si>
    <t>结论</t>
  </si>
  <si>
    <t>关联BUG</t>
  </si>
  <si>
    <t>执行人</t>
  </si>
  <si>
    <t>执行日期</t>
  </si>
  <si>
    <t>TC001</t>
  </si>
  <si>
    <t>查询模块</t>
  </si>
  <si>
    <t>查询事项任务列表返回分页数据</t>
  </si>
  <si>
    <t>接口</t>
  </si>
  <si>
    <t>已获取有效 Authorization；系统中存在至少一条事项任务。</t>
  </si>
  <si>
    <t>POST /task/query</t>
  </si>
  <si>
    <t>响应 200 且包含 total/pageNum/pageSize 字段以及 rows 数组。</t>
  </si>
  <si>
    <t>TC002</t>
  </si>
  <si>
    <t>查询事项任务详情</t>
  </si>
  <si>
    <t>存在可访问的任务 ID。</t>
  </si>
  <si>
    <t>GET /task/detail</t>
  </si>
  <si>
    <t>响应 200，data.id 与请求一致且包含 executes 列表。</t>
  </si>
  <si>
    <t>TC003</t>
  </si>
  <si>
    <t>查询事项任务详情（无子任务树）</t>
  </si>
  <si>
    <t>GET /task/detail/noTree</t>
  </si>
  <si>
    <t>响应 200，返回 AjaxResult 格式且 data 字段存在。</t>
  </si>
  <si>
    <t>TC004</t>
  </si>
  <si>
    <t>查询任务执行人与审批人信息</t>
  </si>
  <si>
    <t>任务存在，且已分配执行人。</t>
  </si>
  <si>
    <t>GET /task/queryExecute</t>
  </si>
  <si>
    <t>响应 200，data 为执行人/审批人信息数组。</t>
  </si>
  <si>
    <t>TC005</t>
  </si>
  <si>
    <t>执行记录反查任务</t>
  </si>
  <si>
    <t>任务存在执行记录。</t>
  </si>
  <si>
    <t>GET /task/executeIdToTaskId</t>
  </si>
  <si>
    <t>响应 200 且 data 等于目标任务 ID。</t>
  </si>
  <si>
    <t>TC006</t>
  </si>
  <si>
    <t>催办任务</t>
  </si>
  <si>
    <t>任务处于可催办状态，存在执行人。</t>
  </si>
  <si>
    <t>POST /task/urge</t>
  </si>
  <si>
    <t>响应 200，返回成功消息。</t>
  </si>
  <si>
    <t>TC007</t>
  </si>
  <si>
    <t>更新任务基本信息</t>
  </si>
  <si>
    <t>任务详情可查询且具有必填字段。</t>
  </si>
  <si>
    <t>POST /task/update</t>
  </si>
  <si>
    <t>响应 200，AjaxResult 表示更新成功。</t>
  </si>
  <si>
    <t>TC008</t>
  </si>
  <si>
    <t>查询任务模板列表</t>
  </si>
  <si>
    <t>系统中存在至少一个任务模板。</t>
  </si>
  <si>
    <t>GET /task/template/query</t>
  </si>
  <si>
    <t>响应 200，data 为模板列表。</t>
  </si>
  <si>
    <t>TC009</t>
  </si>
  <si>
    <t>新增任务模板</t>
  </si>
  <si>
    <t>具备模板示例用于复制生成新模板。</t>
  </si>
  <si>
    <t>POST /task/template/add</t>
  </si>
  <si>
    <t>响应 200，新增模板可在后续查询中检索到。</t>
  </si>
  <si>
    <t>TC010</t>
  </si>
  <si>
    <t>更新任务模板</t>
  </si>
  <si>
    <t>存在可编辑模板。</t>
  </si>
  <si>
    <t>POST /task/template/update</t>
  </si>
  <si>
    <t>TC011</t>
  </si>
  <si>
    <t>删除任务模板</t>
  </si>
  <si>
    <t>存在可删除的模板 ID。</t>
  </si>
  <si>
    <t>POST /task/template/delete</t>
  </si>
  <si>
    <t>响应 200，模板自列表中移除。</t>
  </si>
  <si>
    <t>TC012</t>
  </si>
  <si>
    <t>重新打开任务</t>
  </si>
  <si>
    <t>任务存在且可被重新打开。</t>
  </si>
  <si>
    <t>POST /task/open</t>
  </si>
  <si>
    <t>响应 200，AjaxResult 表示操作成功。</t>
  </si>
  <si>
    <t>TC013</t>
  </si>
  <si>
    <t>关闭任务后恢复</t>
  </si>
  <si>
    <t>任务存在并允许关闭。</t>
  </si>
  <si>
    <t>POST /task/close</t>
  </si>
  <si>
    <t>响应 200，随后通过 /task/open 可恢复状态。</t>
  </si>
  <si>
    <t>TC014</t>
  </si>
  <si>
    <t>完结任务后恢复</t>
  </si>
  <si>
    <t>任务存在并允许完结。</t>
  </si>
  <si>
    <t>POST /task/end</t>
  </si>
  <si>
    <t>响应 200，随后通过 /task/open 可恢复执行。</t>
  </si>
  <si>
    <t>TC015</t>
  </si>
  <si>
    <t>完成任务后恢复</t>
  </si>
  <si>
    <t>任务存在并允许完成。</t>
  </si>
  <si>
    <t>POST /task/complete</t>
  </si>
  <si>
    <t>TC016</t>
  </si>
  <si>
    <t>审批任务通过</t>
  </si>
  <si>
    <t>任务存在待审批记录，当前用户具备审批权限。</t>
  </si>
  <si>
    <t>POST /task/audit</t>
  </si>
  <si>
    <t>TC017</t>
  </si>
  <si>
    <t>撤销审批结果</t>
  </si>
  <si>
    <t>任务存在可撤销的审批记录。</t>
  </si>
  <si>
    <t>POST /task/audit/cancel</t>
  </si>
  <si>
    <t>TC018</t>
  </si>
  <si>
    <t>执行人提交执行记录</t>
  </si>
  <si>
    <t>任务存在执行记录且当前用户为执行人。</t>
  </si>
  <si>
    <t>POST /task/execute/submit</t>
  </si>
  <si>
    <t>响应 200 或 400 且结构符合 AjaxResult。</t>
  </si>
  <si>
    <t>TC019</t>
  </si>
  <si>
    <t>撤回执行提交</t>
  </si>
  <si>
    <t>执行记录存在且允许撤回。</t>
  </si>
  <si>
    <t>POST /task/execute/submit/revoke</t>
  </si>
  <si>
    <t>TC020</t>
  </si>
  <si>
    <t>保存执行备注与附件</t>
  </si>
  <si>
    <t>执行记录存在。</t>
  </si>
  <si>
    <t>POST /task/execute/attachAndComment/save</t>
  </si>
  <si>
    <t>TC021</t>
  </si>
  <si>
    <t>更换执行人</t>
  </si>
  <si>
    <t>任务至少有两个执行人供切换。</t>
  </si>
  <si>
    <t>POST /task/execute/change</t>
  </si>
  <si>
    <t>响应 200，并可恢复为原执行人。</t>
  </si>
  <si>
    <t>TC022</t>
  </si>
  <si>
    <t>邀请新执行人</t>
  </si>
  <si>
    <t>任务存在，可邀请的用户具备执行权限。</t>
  </si>
  <si>
    <t>POST /task/execute/invite</t>
  </si>
  <si>
    <t>TC023</t>
  </si>
  <si>
    <t>移除执行人并恢复</t>
  </si>
  <si>
    <t>任务存在多个执行人。</t>
  </si>
  <si>
    <t>POST /task/execute/remove</t>
  </si>
  <si>
    <t>响应 200，随后重新邀请成功。</t>
  </si>
  <si>
    <t>TC024</t>
  </si>
  <si>
    <t>新增抄送人</t>
  </si>
  <si>
    <t>任务存在；提供的用户可以作为抄送人。</t>
  </si>
  <si>
    <t>POST /task/copyer/add</t>
  </si>
  <si>
    <t>TC025</t>
  </si>
  <si>
    <t>创建任务接口的必填校验</t>
  </si>
  <si>
    <t>提供最小化任务 payload；部分字段缺失。</t>
  </si>
  <si>
    <t>POST /task/add</t>
  </si>
  <si>
    <t>响应 200 或 400，但返回结构符合 AjaxResult。</t>
  </si>
  <si>
    <t>用例数</t>
  </si>
  <si>
    <t>通过率</t>
  </si>
  <si>
    <t>总计</t>
  </si>
  <si>
    <t>提示：在A列填入模块名（与“执行记录”一致），本页自动汇总。</t>
  </si>
  <si>
    <t>风险点/问题</t>
  </si>
  <si>
    <t>影响</t>
  </si>
  <si>
    <t>建议/缓解措施</t>
  </si>
  <si>
    <t>计划完成日期</t>
  </si>
  <si>
    <t>功能点</t>
  </si>
  <si>
    <t>覆盖情况</t>
  </si>
  <si>
    <t>指标</t>
  </si>
  <si>
    <t>数值</t>
  </si>
  <si>
    <t>执行总耗时(秒)</t>
  </si>
  <si>
    <t>5s 032ms</t>
  </si>
  <si>
    <t>生成时间</t>
  </si>
  <si>
    <t>13:27:33 - 13:27:38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</si>
</sst>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2"/>
      <color rgb="FF999999"/>
      <name val="Helvetica"/>
      <charset val="134"/>
    </font>
    <font>
      <b/>
      <sz val="11"/>
      <color theme="1"/>
      <name val="宋体"/>
      <charset val="134"/>
      <scheme val="minor"/>
    </font>
    <font>
      <i/>
      <sz val="11"/>
      <color rgb="FF666666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1" fontId="0" fillId="0" borderId="1" xfId="0" applyNumberFormat="1" applyBorder="1"/>
    <xf numFmtId="10" fontId="0" fillId="0" borderId="1" xfId="0" applyNumberFormat="1" applyBorder="1"/>
    <xf numFmtId="0" fontId="3" fillId="3" borderId="1" xfId="0" applyFont="1" applyFill="1" applyBorder="1"/>
    <xf numFmtId="0" fontId="4" fillId="0" borderId="0" xfId="0" applyFont="1"/>
    <xf numFmtId="0" fontId="0" fillId="0" borderId="2" xfId="0" applyBorder="1"/>
    <xf numFmtId="176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2DED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CF8E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DFF0D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结果分布（通过/失败/阻塞/跳过）</a:t>
            </a:r>
            <a:endParaRPr lang="en-US"/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"用例结果分布"</c:f>
              <c:strCache>
                <c:ptCount val="1"/>
                <c:pt idx="0">
                  <c:v>用例结果分布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概览!$D$4:$D$7</c:f>
              <c:strCache>
                <c:ptCount val="4"/>
                <c:pt idx="0">
                  <c:v>通过</c:v>
                </c:pt>
                <c:pt idx="1">
                  <c:v>失败</c:v>
                </c:pt>
                <c:pt idx="2">
                  <c:v>阻塞</c:v>
                </c:pt>
                <c:pt idx="3">
                  <c:v>跳过</c:v>
                </c:pt>
              </c:strCache>
            </c:strRef>
          </c:cat>
          <c:val>
            <c:numRef>
              <c:f>概览!$E$4:$E$7</c:f>
              <c:numCache>
                <c:formatCode>General</c:formatCode>
                <c:ptCount val="4"/>
                <c:pt idx="0">
                  <c:v>23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4c82dc-390c-4a81-91ad-b916bbacc31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292100</xdr:colOff>
      <xdr:row>0</xdr:row>
      <xdr:rowOff>172720</xdr:rowOff>
    </xdr:from>
    <xdr:to>
      <xdr:col>14</xdr:col>
      <xdr:colOff>546100</xdr:colOff>
      <xdr:row>12</xdr:row>
      <xdr:rowOff>153670</xdr:rowOff>
    </xdr:to>
    <xdr:graphicFrame>
      <xdr:nvGraphicFramePr>
        <xdr:cNvPr id="2" name="Chart 1"/>
        <xdr:cNvGraphicFramePr/>
      </xdr:nvGraphicFramePr>
      <xdr:xfrm>
        <a:off x="9404350" y="172720"/>
        <a:ext cx="5740400" cy="2809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C19" sqref="C19"/>
    </sheetView>
  </sheetViews>
  <sheetFormatPr defaultColWidth="9" defaultRowHeight="13.5" outlineLevelCol="5"/>
  <cols>
    <col min="1" max="1" width="22.875" customWidth="1"/>
    <col min="2" max="2" width="21.875" customWidth="1"/>
    <col min="3" max="6" width="18.7083333333333" customWidth="1"/>
  </cols>
  <sheetData>
    <row r="1" ht="36" customHeight="1" spans="1:6">
      <c r="A1" s="15" t="s">
        <v>0</v>
      </c>
      <c r="B1" s="15"/>
      <c r="C1" s="15"/>
      <c r="D1" s="15"/>
      <c r="E1" s="15"/>
      <c r="F1" s="15"/>
    </row>
    <row r="2" ht="14.25" spans="1:4">
      <c r="A2" s="16" t="s">
        <v>1</v>
      </c>
      <c r="D2" s="16" t="s">
        <v>2</v>
      </c>
    </row>
    <row r="3" ht="18.75" spans="1:5">
      <c r="A3" s="2" t="s">
        <v>3</v>
      </c>
      <c r="B3" s="17" t="str">
        <f>环境信息!B3</f>
        <v>事项计划模块测试</v>
      </c>
      <c r="D3" s="6" t="s">
        <v>4</v>
      </c>
      <c r="E3" s="18">
        <f>COUNTA(执行记录!A2:A9992)</f>
        <v>25</v>
      </c>
    </row>
    <row r="4" ht="18.75" spans="1:5">
      <c r="A4" s="2" t="s">
        <v>5</v>
      </c>
      <c r="B4" s="17">
        <f>环境信息!B4</f>
        <v>0</v>
      </c>
      <c r="D4" s="6" t="s">
        <v>6</v>
      </c>
      <c r="E4" s="18">
        <f>COUNTIF(执行记录!J2:J9992,"通过")</f>
        <v>23</v>
      </c>
    </row>
    <row r="5" ht="18.75" spans="1:5">
      <c r="A5" s="2" t="s">
        <v>7</v>
      </c>
      <c r="B5" s="17" t="str">
        <f>环境信息!B6</f>
        <v>功能/接口/回归/</v>
      </c>
      <c r="D5" s="6" t="s">
        <v>8</v>
      </c>
      <c r="E5" s="18">
        <f>COUNTIF(执行记录!J2:J9992,"失败")</f>
        <v>0</v>
      </c>
    </row>
    <row r="6" ht="18.75" spans="1:5">
      <c r="A6" s="2" t="s">
        <v>9</v>
      </c>
      <c r="B6" s="17" t="str">
        <f>环境信息!B12</f>
        <v>2025.10.14-2025.10.17</v>
      </c>
      <c r="D6" s="6" t="s">
        <v>10</v>
      </c>
      <c r="E6" s="18">
        <f>COUNTIF(执行记录!J2:J9992,"阻塞")</f>
        <v>0</v>
      </c>
    </row>
    <row r="7" ht="18.75" spans="1:5">
      <c r="A7" s="2" t="s">
        <v>11</v>
      </c>
      <c r="B7" s="17" t="str">
        <f>环境信息!B13</f>
        <v>柯锦鸿</v>
      </c>
      <c r="D7" s="6" t="s">
        <v>12</v>
      </c>
      <c r="E7" s="18">
        <f>COUNTIF(执行记录!J2:J9992,"跳过")</f>
        <v>2</v>
      </c>
    </row>
    <row r="9" ht="14.25" spans="1:4">
      <c r="A9" s="16" t="s">
        <v>13</v>
      </c>
      <c r="B9" s="5">
        <f>IF((E3-E7)&gt;0,E4/(E3-E7),"")</f>
        <v>1</v>
      </c>
      <c r="D9" s="16" t="s">
        <v>14</v>
      </c>
    </row>
    <row r="10" ht="18.75" spans="1:5">
      <c r="A10" s="7" t="s">
        <v>15</v>
      </c>
      <c r="D10" s="6" t="s">
        <v>16</v>
      </c>
      <c r="E10" s="18">
        <f>COUNTA('缺陷汇总(BUG)'!A2:A10000)</f>
        <v>13</v>
      </c>
    </row>
    <row r="11" ht="18.75" spans="4:5">
      <c r="D11" s="6" t="s">
        <v>17</v>
      </c>
      <c r="E11" s="18">
        <f>COUNTA('缺陷汇总(BUG)'!A2:A10000)-COUNTIF('缺陷汇总(BUG)'!K2:K10000,"关闭")</f>
        <v>0</v>
      </c>
    </row>
    <row r="20" ht="14.25" spans="1:1">
      <c r="A20" s="16" t="s">
        <v>18</v>
      </c>
    </row>
    <row r="21" spans="1:1">
      <c r="A21" s="7" t="s">
        <v>19</v>
      </c>
    </row>
  </sheetData>
  <mergeCells count="1">
    <mergeCell ref="A1:F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37" sqref="B37"/>
    </sheetView>
  </sheetViews>
  <sheetFormatPr defaultColWidth="9" defaultRowHeight="13.5" outlineLevelCol="1"/>
  <cols>
    <col min="1" max="1" width="20.7083333333333" customWidth="1"/>
    <col min="2" max="2" width="45.7083333333333" customWidth="1"/>
  </cols>
  <sheetData>
    <row r="1" ht="64" customHeight="1" spans="1:2">
      <c r="A1" s="13" t="s">
        <v>20</v>
      </c>
      <c r="B1" s="14"/>
    </row>
    <row r="2" spans="1:2">
      <c r="A2" s="6" t="s">
        <v>21</v>
      </c>
      <c r="B2" s="6" t="s">
        <v>22</v>
      </c>
    </row>
    <row r="3" spans="1:2">
      <c r="A3" s="2" t="s">
        <v>3</v>
      </c>
      <c r="B3" s="2" t="s">
        <v>23</v>
      </c>
    </row>
    <row r="4" spans="1:2">
      <c r="A4" s="2" t="s">
        <v>5</v>
      </c>
      <c r="B4" s="2"/>
    </row>
    <row r="5" spans="1:2">
      <c r="A5" s="2" t="s">
        <v>24</v>
      </c>
      <c r="B5" s="2"/>
    </row>
    <row r="6" spans="1:2">
      <c r="A6" s="2" t="s">
        <v>25</v>
      </c>
      <c r="B6" s="2" t="s">
        <v>26</v>
      </c>
    </row>
    <row r="7" spans="1:2">
      <c r="A7" s="2" t="s">
        <v>7</v>
      </c>
      <c r="B7" s="2" t="s">
        <v>27</v>
      </c>
    </row>
    <row r="8" spans="1:2">
      <c r="A8" s="2" t="s">
        <v>28</v>
      </c>
      <c r="B8" s="2"/>
    </row>
    <row r="9" spans="1:2">
      <c r="A9" s="2" t="s">
        <v>29</v>
      </c>
      <c r="B9" s="2"/>
    </row>
    <row r="10" spans="1:2">
      <c r="A10" s="2" t="s">
        <v>30</v>
      </c>
      <c r="B10" s="2"/>
    </row>
    <row r="11" spans="1:2">
      <c r="A11" s="2" t="s">
        <v>31</v>
      </c>
      <c r="B11" s="2"/>
    </row>
    <row r="12" spans="1:2">
      <c r="A12" s="2" t="s">
        <v>32</v>
      </c>
      <c r="B12" s="2" t="s">
        <v>33</v>
      </c>
    </row>
    <row r="13" spans="1:2">
      <c r="A13" s="2" t="s">
        <v>34</v>
      </c>
      <c r="B13" s="2" t="s">
        <v>35</v>
      </c>
    </row>
    <row r="14" spans="1:2">
      <c r="A14" s="2" t="s">
        <v>36</v>
      </c>
      <c r="B14" s="2"/>
    </row>
    <row r="15" spans="1:2">
      <c r="A15" s="2" t="s">
        <v>37</v>
      </c>
      <c r="B15" s="2" t="s">
        <v>38</v>
      </c>
    </row>
    <row r="16" spans="1:2">
      <c r="A16" s="2" t="s">
        <v>39</v>
      </c>
      <c r="B16" s="2" t="s">
        <v>40</v>
      </c>
    </row>
    <row r="17" spans="1:2">
      <c r="A17" s="2" t="s">
        <v>41</v>
      </c>
      <c r="B17" s="2"/>
    </row>
  </sheetData>
  <mergeCells count="1">
    <mergeCell ref="A1:B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opLeftCell="F1" workbookViewId="0">
      <pane ySplit="1" topLeftCell="A2" activePane="bottomLeft" state="frozen"/>
      <selection/>
      <selection pane="bottomLeft" activeCell="K17" sqref="K17"/>
    </sheetView>
  </sheetViews>
  <sheetFormatPr defaultColWidth="9" defaultRowHeight="13.5"/>
  <cols>
    <col min="1" max="1" width="12.7083333333333" customWidth="1"/>
    <col min="2" max="2" width="16.7083333333333" customWidth="1"/>
    <col min="3" max="4" width="10.7083333333333" customWidth="1"/>
    <col min="5" max="5" width="36.7083333333333" customWidth="1"/>
    <col min="6" max="6" width="40.7083333333333" customWidth="1"/>
    <col min="7" max="8" width="36.7083333333333" customWidth="1"/>
    <col min="9" max="9" width="28.7083333333333" customWidth="1"/>
    <col min="10" max="11" width="12.7083333333333" customWidth="1"/>
    <col min="12" max="13" width="14.7083333333333" customWidth="1"/>
    <col min="14" max="14" width="24.7083333333333" customWidth="1"/>
  </cols>
  <sheetData>
    <row r="1" spans="1:14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41</v>
      </c>
    </row>
    <row r="2" spans="1:14">
      <c r="A2" s="10" t="s">
        <v>55</v>
      </c>
      <c r="B2" s="10" t="s">
        <v>56</v>
      </c>
      <c r="C2" s="11"/>
      <c r="D2" s="11"/>
      <c r="E2" s="10" t="s">
        <v>57</v>
      </c>
      <c r="F2" s="10" t="s">
        <v>58</v>
      </c>
      <c r="G2" s="10" t="s">
        <v>59</v>
      </c>
      <c r="H2" s="10" t="s">
        <v>60</v>
      </c>
      <c r="I2" s="11"/>
      <c r="J2" s="12" t="s">
        <v>61</v>
      </c>
      <c r="K2" s="11" t="s">
        <v>62</v>
      </c>
      <c r="L2" s="11"/>
      <c r="M2" s="11"/>
      <c r="N2" s="11"/>
    </row>
    <row r="3" spans="1:14">
      <c r="A3" s="10" t="s">
        <v>63</v>
      </c>
      <c r="B3" s="11"/>
      <c r="C3" s="11"/>
      <c r="D3" s="11"/>
      <c r="E3" s="10" t="s">
        <v>64</v>
      </c>
      <c r="F3" s="10" t="s">
        <v>65</v>
      </c>
      <c r="G3" s="10" t="s">
        <v>66</v>
      </c>
      <c r="H3" s="10" t="s">
        <v>67</v>
      </c>
      <c r="I3" s="11"/>
      <c r="J3" s="12" t="s">
        <v>68</v>
      </c>
      <c r="K3" s="11" t="s">
        <v>62</v>
      </c>
      <c r="L3" s="11"/>
      <c r="M3" s="11"/>
      <c r="N3" s="11"/>
    </row>
    <row r="4" ht="54" spans="1:14">
      <c r="A4" s="10" t="s">
        <v>69</v>
      </c>
      <c r="B4" s="11"/>
      <c r="C4" s="11"/>
      <c r="D4" s="11"/>
      <c r="E4" s="10" t="s">
        <v>70</v>
      </c>
      <c r="F4" s="10" t="s">
        <v>71</v>
      </c>
      <c r="G4" s="10" t="s">
        <v>72</v>
      </c>
      <c r="H4" s="10" t="s">
        <v>73</v>
      </c>
      <c r="I4" s="11"/>
      <c r="J4" s="12" t="s">
        <v>61</v>
      </c>
      <c r="K4" s="11" t="s">
        <v>62</v>
      </c>
      <c r="L4" s="11"/>
      <c r="M4" s="11"/>
      <c r="N4" s="11"/>
    </row>
    <row r="5" ht="67.5" spans="1:14">
      <c r="A5" s="10" t="s">
        <v>74</v>
      </c>
      <c r="B5" s="11"/>
      <c r="C5" s="11"/>
      <c r="D5" s="11"/>
      <c r="E5" s="10" t="s">
        <v>75</v>
      </c>
      <c r="F5" s="10" t="s">
        <v>76</v>
      </c>
      <c r="G5" s="10" t="s">
        <v>77</v>
      </c>
      <c r="H5" s="10" t="s">
        <v>78</v>
      </c>
      <c r="I5" s="11"/>
      <c r="J5" s="12" t="s">
        <v>68</v>
      </c>
      <c r="K5" s="11" t="s">
        <v>62</v>
      </c>
      <c r="L5" s="11"/>
      <c r="M5" s="11"/>
      <c r="N5" s="11"/>
    </row>
    <row r="6" spans="1:14">
      <c r="A6" s="10" t="s">
        <v>79</v>
      </c>
      <c r="B6" s="11"/>
      <c r="C6" s="11"/>
      <c r="D6" s="11"/>
      <c r="E6" s="10" t="s">
        <v>80</v>
      </c>
      <c r="F6" s="10" t="s">
        <v>81</v>
      </c>
      <c r="G6" s="10" t="s">
        <v>82</v>
      </c>
      <c r="H6" s="10" t="s">
        <v>83</v>
      </c>
      <c r="I6" s="11"/>
      <c r="J6" s="12" t="s">
        <v>61</v>
      </c>
      <c r="K6" s="11" t="s">
        <v>62</v>
      </c>
      <c r="L6" s="11"/>
      <c r="M6" s="11"/>
      <c r="N6" s="11"/>
    </row>
    <row r="7" spans="1:14">
      <c r="A7" s="10" t="s">
        <v>84</v>
      </c>
      <c r="B7" s="11"/>
      <c r="C7" s="11"/>
      <c r="D7" s="11"/>
      <c r="E7" s="10" t="s">
        <v>85</v>
      </c>
      <c r="F7" s="10" t="s">
        <v>86</v>
      </c>
      <c r="G7" s="10" t="s">
        <v>87</v>
      </c>
      <c r="H7" s="10" t="s">
        <v>88</v>
      </c>
      <c r="I7" s="11"/>
      <c r="J7" s="12" t="s">
        <v>61</v>
      </c>
      <c r="K7" s="11" t="s">
        <v>62</v>
      </c>
      <c r="L7" s="11"/>
      <c r="M7" s="11"/>
      <c r="N7" s="11"/>
    </row>
    <row r="8" ht="67.5" spans="1:14">
      <c r="A8" s="10" t="s">
        <v>89</v>
      </c>
      <c r="B8" s="11"/>
      <c r="C8" s="11"/>
      <c r="D8" s="11"/>
      <c r="E8" s="10" t="s">
        <v>90</v>
      </c>
      <c r="F8" s="10" t="s">
        <v>91</v>
      </c>
      <c r="G8" s="10" t="s">
        <v>92</v>
      </c>
      <c r="H8" s="10" t="s">
        <v>93</v>
      </c>
      <c r="I8" s="11"/>
      <c r="J8" s="12" t="s">
        <v>68</v>
      </c>
      <c r="K8" s="11" t="s">
        <v>62</v>
      </c>
      <c r="L8" s="11"/>
      <c r="M8" s="11"/>
      <c r="N8" s="11"/>
    </row>
    <row r="9" spans="1:14">
      <c r="A9" s="10" t="s">
        <v>94</v>
      </c>
      <c r="B9" s="11"/>
      <c r="C9" s="11"/>
      <c r="D9" s="11"/>
      <c r="E9" s="10" t="s">
        <v>95</v>
      </c>
      <c r="F9" s="10" t="s">
        <v>96</v>
      </c>
      <c r="G9" s="10" t="s">
        <v>97</v>
      </c>
      <c r="H9" s="10" t="s">
        <v>98</v>
      </c>
      <c r="I9" s="11"/>
      <c r="J9" s="12" t="s">
        <v>61</v>
      </c>
      <c r="K9" s="11" t="s">
        <v>62</v>
      </c>
      <c r="L9" s="11"/>
      <c r="M9" s="11"/>
      <c r="N9" s="11"/>
    </row>
    <row r="10" ht="27" spans="1:14">
      <c r="A10" s="10" t="s">
        <v>99</v>
      </c>
      <c r="B10" s="11"/>
      <c r="C10" s="11"/>
      <c r="D10" s="11"/>
      <c r="E10" s="10" t="s">
        <v>100</v>
      </c>
      <c r="F10" s="10" t="s">
        <v>101</v>
      </c>
      <c r="G10" s="10" t="s">
        <v>102</v>
      </c>
      <c r="H10" s="10" t="s">
        <v>103</v>
      </c>
      <c r="I10" s="11"/>
      <c r="J10" s="12" t="s">
        <v>61</v>
      </c>
      <c r="K10" s="11" t="s">
        <v>62</v>
      </c>
      <c r="L10" s="11"/>
      <c r="M10" s="11"/>
      <c r="N10" s="11"/>
    </row>
    <row r="11" spans="1:14">
      <c r="A11" s="10" t="s">
        <v>104</v>
      </c>
      <c r="B11" s="11"/>
      <c r="C11" s="11"/>
      <c r="D11" s="11"/>
      <c r="E11" s="10" t="s">
        <v>105</v>
      </c>
      <c r="F11" s="10" t="s">
        <v>106</v>
      </c>
      <c r="G11" s="10" t="s">
        <v>97</v>
      </c>
      <c r="H11" s="10" t="s">
        <v>98</v>
      </c>
      <c r="I11" s="11"/>
      <c r="J11" s="12" t="s">
        <v>61</v>
      </c>
      <c r="K11" s="11" t="s">
        <v>62</v>
      </c>
      <c r="L11" s="11"/>
      <c r="M11" s="11"/>
      <c r="N11" s="11"/>
    </row>
    <row r="12" spans="1:14">
      <c r="A12" s="10" t="s">
        <v>107</v>
      </c>
      <c r="B12" s="11"/>
      <c r="C12" s="11"/>
      <c r="D12" s="11"/>
      <c r="E12" s="10" t="s">
        <v>108</v>
      </c>
      <c r="F12" s="10" t="s">
        <v>109</v>
      </c>
      <c r="G12" s="10" t="s">
        <v>110</v>
      </c>
      <c r="H12" s="10" t="s">
        <v>111</v>
      </c>
      <c r="I12" s="11"/>
      <c r="J12" s="12" t="s">
        <v>61</v>
      </c>
      <c r="K12" s="11" t="s">
        <v>62</v>
      </c>
      <c r="L12" s="11"/>
      <c r="M12" s="11"/>
      <c r="N12" s="11"/>
    </row>
    <row r="13" ht="27" spans="1:14">
      <c r="A13" s="10" t="s">
        <v>112</v>
      </c>
      <c r="B13" s="11"/>
      <c r="C13" s="11"/>
      <c r="D13" s="11"/>
      <c r="E13" s="10" t="s">
        <v>113</v>
      </c>
      <c r="F13" s="10" t="s">
        <v>114</v>
      </c>
      <c r="G13" s="10" t="s">
        <v>115</v>
      </c>
      <c r="H13" s="10" t="s">
        <v>116</v>
      </c>
      <c r="I13" s="11"/>
      <c r="J13" s="12" t="s">
        <v>61</v>
      </c>
      <c r="K13" s="11" t="s">
        <v>62</v>
      </c>
      <c r="L13" s="11"/>
      <c r="M13" s="11"/>
      <c r="N13" s="11"/>
    </row>
    <row r="14" ht="27" spans="1:14">
      <c r="A14" s="10" t="s">
        <v>117</v>
      </c>
      <c r="B14" s="11"/>
      <c r="C14" s="11"/>
      <c r="D14" s="11"/>
      <c r="E14" s="10" t="s">
        <v>118</v>
      </c>
      <c r="F14" s="10" t="s">
        <v>119</v>
      </c>
      <c r="G14" s="10" t="s">
        <v>120</v>
      </c>
      <c r="H14" s="10" t="s">
        <v>121</v>
      </c>
      <c r="I14" s="11"/>
      <c r="J14" s="12" t="s">
        <v>61</v>
      </c>
      <c r="K14" s="11" t="s">
        <v>62</v>
      </c>
      <c r="L14" s="11"/>
      <c r="M14" s="11"/>
      <c r="N14" s="11"/>
    </row>
  </sheetData>
  <conditionalFormatting sqref="C2:C10001">
    <cfRule type="expression" dxfId="0" priority="1">
      <formula>$C2="致命"</formula>
    </cfRule>
    <cfRule type="expression" dxfId="1" priority="2">
      <formula>$C2="高"</formula>
    </cfRule>
    <cfRule type="expression" dxfId="2" priority="3">
      <formula>$C2="低"</formula>
    </cfRule>
  </conditionalFormatting>
  <dataValidations count="4">
    <dataValidation type="list" allowBlank="1" showInputMessage="1" showErrorMessage="1" sqref="C2:C10001">
      <formula1>"致命,高,中,低,建议"</formula1>
    </dataValidation>
    <dataValidation type="list" allowBlank="1" showInputMessage="1" showErrorMessage="1" sqref="D2:D10001">
      <formula1>"P0,P1,P2,P3"</formula1>
    </dataValidation>
    <dataValidation type="list" allowBlank="1" showInputMessage="1" showErrorMessage="1" sqref="K2:K14 K15:K10001">
      <formula1>"新建,已指派,修复中,已修复,已验证,关闭"</formula1>
    </dataValidation>
    <dataValidation type="date" operator="greaterThanOrEqual" allowBlank="1" showInputMessage="1" showErrorMessage="1" sqref="L2:L10001">
      <formula1>1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opLeftCell="F1" workbookViewId="0">
      <pane ySplit="1" topLeftCell="A2" activePane="bottomLeft" state="frozen"/>
      <selection/>
      <selection pane="bottomLeft" activeCell="I39" sqref="I39"/>
    </sheetView>
  </sheetViews>
  <sheetFormatPr defaultColWidth="9" defaultRowHeight="13.5"/>
  <cols>
    <col min="1" max="1" width="12.7083333333333" customWidth="1"/>
    <col min="2" max="2" width="11.5" customWidth="1"/>
    <col min="3" max="3" width="30.125" customWidth="1"/>
    <col min="4" max="4" width="10.7083333333333" customWidth="1"/>
    <col min="5" max="5" width="12.7083333333333" customWidth="1"/>
    <col min="6" max="6" width="52" customWidth="1"/>
    <col min="7" max="7" width="41.875" customWidth="1"/>
    <col min="8" max="8" width="57.75" customWidth="1"/>
    <col min="9" max="9" width="40.7083333333333" customWidth="1"/>
    <col min="10" max="10" width="10.7083333333333" customWidth="1"/>
    <col min="11" max="11" width="14.7083333333333" customWidth="1"/>
    <col min="12" max="12" width="12.7083333333333" customWidth="1"/>
    <col min="13" max="13" width="14.7083333333333" customWidth="1"/>
  </cols>
  <sheetData>
    <row r="1" spans="1:13">
      <c r="A1" s="1" t="s">
        <v>122</v>
      </c>
      <c r="B1" s="1" t="s">
        <v>43</v>
      </c>
      <c r="C1" s="1" t="s">
        <v>123</v>
      </c>
      <c r="D1" s="1" t="s">
        <v>45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49</v>
      </c>
      <c r="J1" s="1" t="s">
        <v>128</v>
      </c>
      <c r="K1" s="1" t="s">
        <v>129</v>
      </c>
      <c r="L1" s="1" t="s">
        <v>130</v>
      </c>
      <c r="M1" s="1" t="s">
        <v>131</v>
      </c>
    </row>
    <row r="2" spans="1:13">
      <c r="A2" s="2" t="s">
        <v>132</v>
      </c>
      <c r="B2" s="2" t="s">
        <v>133</v>
      </c>
      <c r="C2" s="2" t="s">
        <v>134</v>
      </c>
      <c r="D2" s="2"/>
      <c r="E2" s="2" t="s">
        <v>135</v>
      </c>
      <c r="F2" s="2" t="s">
        <v>136</v>
      </c>
      <c r="G2" t="s">
        <v>137</v>
      </c>
      <c r="H2" s="2" t="s">
        <v>138</v>
      </c>
      <c r="I2" s="2"/>
      <c r="J2" s="2" t="s">
        <v>6</v>
      </c>
      <c r="K2" s="2"/>
      <c r="L2" s="2"/>
      <c r="M2" s="9">
        <v>45947.073067456</v>
      </c>
    </row>
    <row r="3" spans="1:13">
      <c r="A3" s="2" t="s">
        <v>139</v>
      </c>
      <c r="B3" s="2" t="s">
        <v>133</v>
      </c>
      <c r="C3" s="2" t="s">
        <v>140</v>
      </c>
      <c r="D3" s="2"/>
      <c r="E3" s="2" t="s">
        <v>135</v>
      </c>
      <c r="F3" s="2" t="s">
        <v>141</v>
      </c>
      <c r="G3" s="8" t="s">
        <v>142</v>
      </c>
      <c r="H3" s="2" t="s">
        <v>143</v>
      </c>
      <c r="I3" s="2"/>
      <c r="J3" s="2" t="s">
        <v>6</v>
      </c>
      <c r="K3" s="2"/>
      <c r="L3" s="2"/>
      <c r="M3" s="9">
        <v>45947.073067456</v>
      </c>
    </row>
    <row r="4" spans="1:13">
      <c r="A4" s="2" t="s">
        <v>144</v>
      </c>
      <c r="B4" s="2" t="s">
        <v>133</v>
      </c>
      <c r="C4" s="2" t="s">
        <v>145</v>
      </c>
      <c r="D4" s="2"/>
      <c r="E4" s="2" t="s">
        <v>135</v>
      </c>
      <c r="F4" s="2" t="s">
        <v>141</v>
      </c>
      <c r="G4" s="8" t="s">
        <v>146</v>
      </c>
      <c r="H4" s="2" t="s">
        <v>147</v>
      </c>
      <c r="I4" s="2"/>
      <c r="J4" s="2" t="s">
        <v>6</v>
      </c>
      <c r="K4" s="2"/>
      <c r="L4" s="2"/>
      <c r="M4" s="9">
        <v>45947.073067456</v>
      </c>
    </row>
    <row r="5" spans="1:13">
      <c r="A5" s="2" t="s">
        <v>148</v>
      </c>
      <c r="B5" s="2" t="s">
        <v>133</v>
      </c>
      <c r="C5" s="2" t="s">
        <v>149</v>
      </c>
      <c r="D5" s="2"/>
      <c r="E5" s="2" t="s">
        <v>135</v>
      </c>
      <c r="F5" s="2" t="s">
        <v>150</v>
      </c>
      <c r="G5" s="8" t="s">
        <v>151</v>
      </c>
      <c r="H5" s="2" t="s">
        <v>152</v>
      </c>
      <c r="I5" s="2"/>
      <c r="J5" s="2" t="s">
        <v>6</v>
      </c>
      <c r="K5" s="2"/>
      <c r="L5" s="2"/>
      <c r="M5" s="9">
        <v>45947.073067456</v>
      </c>
    </row>
    <row r="6" spans="1:13">
      <c r="A6" s="2" t="s">
        <v>153</v>
      </c>
      <c r="B6" s="2"/>
      <c r="C6" s="2" t="s">
        <v>154</v>
      </c>
      <c r="D6" s="2"/>
      <c r="E6" s="2" t="s">
        <v>135</v>
      </c>
      <c r="F6" s="2" t="s">
        <v>155</v>
      </c>
      <c r="G6" s="8" t="s">
        <v>156</v>
      </c>
      <c r="H6" s="2" t="s">
        <v>157</v>
      </c>
      <c r="I6" s="2"/>
      <c r="J6" s="2" t="s">
        <v>6</v>
      </c>
      <c r="K6" s="2"/>
      <c r="L6" s="2"/>
      <c r="M6" s="9">
        <v>45947.073067456</v>
      </c>
    </row>
    <row r="7" spans="1:13">
      <c r="A7" s="2" t="s">
        <v>158</v>
      </c>
      <c r="B7" s="2"/>
      <c r="C7" s="2" t="s">
        <v>159</v>
      </c>
      <c r="D7" s="2"/>
      <c r="E7" s="2" t="s">
        <v>135</v>
      </c>
      <c r="F7" s="2" t="s">
        <v>160</v>
      </c>
      <c r="G7" s="8" t="s">
        <v>161</v>
      </c>
      <c r="H7" s="2" t="s">
        <v>162</v>
      </c>
      <c r="I7" s="2"/>
      <c r="J7" s="2" t="s">
        <v>6</v>
      </c>
      <c r="K7" s="2"/>
      <c r="L7" s="2"/>
      <c r="M7" s="9">
        <v>45947.073067456</v>
      </c>
    </row>
    <row r="8" spans="1:13">
      <c r="A8" s="2" t="s">
        <v>163</v>
      </c>
      <c r="B8" s="2"/>
      <c r="C8" s="2" t="s">
        <v>164</v>
      </c>
      <c r="D8" s="2"/>
      <c r="E8" s="2" t="s">
        <v>135</v>
      </c>
      <c r="F8" s="2" t="s">
        <v>165</v>
      </c>
      <c r="G8" s="8" t="s">
        <v>166</v>
      </c>
      <c r="H8" s="2" t="s">
        <v>167</v>
      </c>
      <c r="I8" s="2"/>
      <c r="J8" s="2" t="s">
        <v>6</v>
      </c>
      <c r="K8" s="2"/>
      <c r="L8" s="2"/>
      <c r="M8" s="9">
        <v>45947.073067456</v>
      </c>
    </row>
    <row r="9" spans="1:13">
      <c r="A9" s="2" t="s">
        <v>168</v>
      </c>
      <c r="B9" s="2" t="s">
        <v>133</v>
      </c>
      <c r="C9" s="2" t="s">
        <v>169</v>
      </c>
      <c r="D9" s="2"/>
      <c r="E9" s="2" t="s">
        <v>135</v>
      </c>
      <c r="F9" s="2" t="s">
        <v>170</v>
      </c>
      <c r="G9" s="8" t="s">
        <v>171</v>
      </c>
      <c r="H9" s="2" t="s">
        <v>172</v>
      </c>
      <c r="I9" s="2"/>
      <c r="J9" s="2" t="s">
        <v>6</v>
      </c>
      <c r="K9" s="2"/>
      <c r="L9" s="2"/>
      <c r="M9" s="9">
        <v>45947.073067456</v>
      </c>
    </row>
    <row r="10" spans="1:13">
      <c r="A10" s="2" t="s">
        <v>173</v>
      </c>
      <c r="B10" s="2"/>
      <c r="C10" s="2" t="s">
        <v>174</v>
      </c>
      <c r="D10" s="2"/>
      <c r="E10" s="2" t="s">
        <v>135</v>
      </c>
      <c r="F10" s="2" t="s">
        <v>175</v>
      </c>
      <c r="G10" s="8" t="s">
        <v>176</v>
      </c>
      <c r="H10" s="2" t="s">
        <v>177</v>
      </c>
      <c r="I10" s="2"/>
      <c r="J10" s="2" t="s">
        <v>6</v>
      </c>
      <c r="K10" s="2"/>
      <c r="L10" s="2"/>
      <c r="M10" s="9">
        <v>45947.073067456</v>
      </c>
    </row>
    <row r="11" spans="1:13">
      <c r="A11" s="2" t="s">
        <v>178</v>
      </c>
      <c r="B11" s="2"/>
      <c r="C11" s="2" t="s">
        <v>179</v>
      </c>
      <c r="D11" s="2"/>
      <c r="E11" s="2" t="s">
        <v>135</v>
      </c>
      <c r="F11" s="2" t="s">
        <v>180</v>
      </c>
      <c r="G11" s="8" t="s">
        <v>181</v>
      </c>
      <c r="H11" s="2" t="s">
        <v>162</v>
      </c>
      <c r="I11" s="2"/>
      <c r="J11" s="2" t="s">
        <v>6</v>
      </c>
      <c r="K11" s="2"/>
      <c r="L11" s="2"/>
      <c r="M11" s="9">
        <v>45947.073067456</v>
      </c>
    </row>
    <row r="12" spans="1:13">
      <c r="A12" s="2" t="s">
        <v>182</v>
      </c>
      <c r="B12" s="2"/>
      <c r="C12" s="2" t="s">
        <v>183</v>
      </c>
      <c r="D12" s="2"/>
      <c r="E12" s="2" t="s">
        <v>135</v>
      </c>
      <c r="F12" s="2" t="s">
        <v>184</v>
      </c>
      <c r="G12" s="8" t="s">
        <v>185</v>
      </c>
      <c r="H12" s="2" t="s">
        <v>186</v>
      </c>
      <c r="I12" s="2"/>
      <c r="J12" s="2" t="s">
        <v>6</v>
      </c>
      <c r="K12" s="2"/>
      <c r="L12" s="2"/>
      <c r="M12" s="9">
        <v>45947.073067456</v>
      </c>
    </row>
    <row r="13" spans="1:13">
      <c r="A13" s="2" t="s">
        <v>187</v>
      </c>
      <c r="B13" s="2"/>
      <c r="C13" s="2" t="s">
        <v>188</v>
      </c>
      <c r="D13" s="2"/>
      <c r="E13" s="2" t="s">
        <v>135</v>
      </c>
      <c r="F13" s="2" t="s">
        <v>189</v>
      </c>
      <c r="G13" s="8" t="s">
        <v>190</v>
      </c>
      <c r="H13" s="2" t="s">
        <v>191</v>
      </c>
      <c r="I13" s="2"/>
      <c r="J13" s="2" t="s">
        <v>6</v>
      </c>
      <c r="K13" s="2"/>
      <c r="L13" s="2"/>
      <c r="M13" s="9">
        <v>45947.073067456</v>
      </c>
    </row>
    <row r="14" spans="1:13">
      <c r="A14" s="2" t="s">
        <v>192</v>
      </c>
      <c r="B14" s="2"/>
      <c r="C14" s="2" t="s">
        <v>193</v>
      </c>
      <c r="D14" s="2"/>
      <c r="E14" s="2" t="s">
        <v>135</v>
      </c>
      <c r="F14" s="2" t="s">
        <v>194</v>
      </c>
      <c r="G14" s="8" t="s">
        <v>195</v>
      </c>
      <c r="H14" s="2" t="s">
        <v>196</v>
      </c>
      <c r="I14" s="2"/>
      <c r="J14" s="2" t="s">
        <v>6</v>
      </c>
      <c r="K14" s="2"/>
      <c r="L14" s="2"/>
      <c r="M14" s="9">
        <v>45947.073067456</v>
      </c>
    </row>
    <row r="15" spans="1:13">
      <c r="A15" s="2" t="s">
        <v>197</v>
      </c>
      <c r="B15" s="2"/>
      <c r="C15" s="2" t="s">
        <v>198</v>
      </c>
      <c r="D15" s="2"/>
      <c r="E15" s="2" t="s">
        <v>135</v>
      </c>
      <c r="F15" s="2" t="s">
        <v>199</v>
      </c>
      <c r="G15" s="8" t="s">
        <v>200</v>
      </c>
      <c r="H15" s="2" t="s">
        <v>201</v>
      </c>
      <c r="I15" s="2"/>
      <c r="J15" s="2" t="s">
        <v>6</v>
      </c>
      <c r="K15" s="2"/>
      <c r="L15" s="2"/>
      <c r="M15" s="9">
        <v>45947.073067456</v>
      </c>
    </row>
    <row r="16" spans="1:13">
      <c r="A16" s="2" t="s">
        <v>202</v>
      </c>
      <c r="B16" s="2"/>
      <c r="C16" s="2" t="s">
        <v>203</v>
      </c>
      <c r="D16" s="2"/>
      <c r="E16" s="2" t="s">
        <v>135</v>
      </c>
      <c r="F16" s="2" t="s">
        <v>204</v>
      </c>
      <c r="G16" s="8" t="s">
        <v>205</v>
      </c>
      <c r="H16" s="2" t="s">
        <v>201</v>
      </c>
      <c r="I16" s="2"/>
      <c r="J16" s="2" t="s">
        <v>6</v>
      </c>
      <c r="K16" s="2"/>
      <c r="L16" s="2"/>
      <c r="M16" s="9">
        <v>45947.073067456</v>
      </c>
    </row>
    <row r="17" spans="1:13">
      <c r="A17" s="2" t="s">
        <v>206</v>
      </c>
      <c r="B17" s="2"/>
      <c r="C17" s="2" t="s">
        <v>207</v>
      </c>
      <c r="D17" s="2"/>
      <c r="E17" s="2" t="s">
        <v>135</v>
      </c>
      <c r="F17" s="2" t="s">
        <v>208</v>
      </c>
      <c r="G17" s="8" t="s">
        <v>209</v>
      </c>
      <c r="H17" s="2" t="s">
        <v>162</v>
      </c>
      <c r="I17" s="2"/>
      <c r="J17" s="2" t="s">
        <v>12</v>
      </c>
      <c r="K17" s="2"/>
      <c r="L17" s="2"/>
      <c r="M17" s="9">
        <v>45947.073067456</v>
      </c>
    </row>
    <row r="18" spans="1:13">
      <c r="A18" s="2" t="s">
        <v>210</v>
      </c>
      <c r="B18" s="2"/>
      <c r="C18" s="2" t="s">
        <v>211</v>
      </c>
      <c r="D18" s="2"/>
      <c r="E18" s="2" t="s">
        <v>135</v>
      </c>
      <c r="F18" s="2" t="s">
        <v>212</v>
      </c>
      <c r="G18" s="8" t="s">
        <v>213</v>
      </c>
      <c r="H18" s="2" t="s">
        <v>162</v>
      </c>
      <c r="I18" s="2"/>
      <c r="J18" s="2" t="s">
        <v>12</v>
      </c>
      <c r="K18" s="2"/>
      <c r="L18" s="2"/>
      <c r="M18" s="9">
        <v>45947.073067456</v>
      </c>
    </row>
    <row r="19" spans="1:13">
      <c r="A19" s="2" t="s">
        <v>214</v>
      </c>
      <c r="B19" s="2"/>
      <c r="C19" s="2" t="s">
        <v>215</v>
      </c>
      <c r="D19" s="2"/>
      <c r="E19" s="2" t="s">
        <v>135</v>
      </c>
      <c r="F19" s="2" t="s">
        <v>216</v>
      </c>
      <c r="G19" s="8" t="s">
        <v>217</v>
      </c>
      <c r="H19" s="2" t="s">
        <v>218</v>
      </c>
      <c r="I19" s="2"/>
      <c r="J19" s="2" t="s">
        <v>6</v>
      </c>
      <c r="K19" s="2"/>
      <c r="L19" s="2"/>
      <c r="M19" s="9">
        <v>45947.073067456</v>
      </c>
    </row>
    <row r="20" spans="1:13">
      <c r="A20" s="2" t="s">
        <v>219</v>
      </c>
      <c r="B20" s="2"/>
      <c r="C20" s="2" t="s">
        <v>220</v>
      </c>
      <c r="D20" s="2"/>
      <c r="E20" s="2" t="s">
        <v>135</v>
      </c>
      <c r="F20" s="2" t="s">
        <v>221</v>
      </c>
      <c r="G20" s="8" t="s">
        <v>222</v>
      </c>
      <c r="H20" s="2" t="s">
        <v>162</v>
      </c>
      <c r="I20" s="2"/>
      <c r="J20" s="2" t="s">
        <v>6</v>
      </c>
      <c r="K20" s="2"/>
      <c r="L20" s="2"/>
      <c r="M20" s="9">
        <v>45947.073067456</v>
      </c>
    </row>
    <row r="21" spans="1:13">
      <c r="A21" s="2" t="s">
        <v>223</v>
      </c>
      <c r="B21" s="2"/>
      <c r="C21" s="2" t="s">
        <v>224</v>
      </c>
      <c r="D21" s="2"/>
      <c r="E21" s="2" t="s">
        <v>135</v>
      </c>
      <c r="F21" s="2" t="s">
        <v>225</v>
      </c>
      <c r="G21" s="8" t="s">
        <v>226</v>
      </c>
      <c r="H21" s="2" t="s">
        <v>218</v>
      </c>
      <c r="I21" s="2"/>
      <c r="J21" s="2" t="s">
        <v>6</v>
      </c>
      <c r="K21" s="2"/>
      <c r="L21" s="2"/>
      <c r="M21" s="9">
        <v>45947.073067456</v>
      </c>
    </row>
    <row r="22" spans="1:13">
      <c r="A22" s="2" t="s">
        <v>227</v>
      </c>
      <c r="B22" s="2"/>
      <c r="C22" s="2" t="s">
        <v>228</v>
      </c>
      <c r="D22" s="2"/>
      <c r="E22" s="2" t="s">
        <v>135</v>
      </c>
      <c r="F22" s="2" t="s">
        <v>229</v>
      </c>
      <c r="G22" s="8" t="s">
        <v>230</v>
      </c>
      <c r="H22" s="2" t="s">
        <v>231</v>
      </c>
      <c r="I22" s="2"/>
      <c r="J22" s="2" t="s">
        <v>6</v>
      </c>
      <c r="K22" s="2"/>
      <c r="L22" s="2"/>
      <c r="M22" s="9">
        <v>45947.073067456</v>
      </c>
    </row>
    <row r="23" spans="1:13">
      <c r="A23" s="2" t="s">
        <v>232</v>
      </c>
      <c r="B23" s="2"/>
      <c r="C23" s="2" t="s">
        <v>233</v>
      </c>
      <c r="D23" s="2"/>
      <c r="E23" s="2" t="s">
        <v>135</v>
      </c>
      <c r="F23" s="2" t="s">
        <v>234</v>
      </c>
      <c r="G23" s="8" t="s">
        <v>235</v>
      </c>
      <c r="H23" s="2" t="s">
        <v>162</v>
      </c>
      <c r="I23" s="2"/>
      <c r="J23" s="2" t="s">
        <v>6</v>
      </c>
      <c r="K23" s="2"/>
      <c r="L23" s="2"/>
      <c r="M23" s="9">
        <v>45947.073067456</v>
      </c>
    </row>
    <row r="24" spans="1:13">
      <c r="A24" s="2" t="s">
        <v>236</v>
      </c>
      <c r="B24" s="2"/>
      <c r="C24" s="2" t="s">
        <v>237</v>
      </c>
      <c r="D24" s="2"/>
      <c r="E24" s="2" t="s">
        <v>135</v>
      </c>
      <c r="F24" s="2" t="s">
        <v>238</v>
      </c>
      <c r="G24" s="8" t="s">
        <v>239</v>
      </c>
      <c r="H24" s="2" t="s">
        <v>240</v>
      </c>
      <c r="I24" s="2"/>
      <c r="J24" s="2" t="s">
        <v>6</v>
      </c>
      <c r="K24" s="2"/>
      <c r="L24" s="2"/>
      <c r="M24" s="9">
        <v>45947.073067456</v>
      </c>
    </row>
    <row r="25" spans="1:13">
      <c r="A25" s="2" t="s">
        <v>241</v>
      </c>
      <c r="B25" s="2"/>
      <c r="C25" s="2" t="s">
        <v>242</v>
      </c>
      <c r="D25" s="2"/>
      <c r="E25" s="2" t="s">
        <v>135</v>
      </c>
      <c r="F25" s="2" t="s">
        <v>243</v>
      </c>
      <c r="G25" s="8" t="s">
        <v>244</v>
      </c>
      <c r="H25" s="2" t="s">
        <v>162</v>
      </c>
      <c r="I25" s="2"/>
      <c r="J25" s="2" t="s">
        <v>6</v>
      </c>
      <c r="K25" s="2"/>
      <c r="L25" s="2"/>
      <c r="M25" s="9">
        <v>45947.073067456</v>
      </c>
    </row>
    <row r="26" spans="1:13">
      <c r="A26" s="2" t="s">
        <v>245</v>
      </c>
      <c r="B26" s="2"/>
      <c r="C26" s="2" t="s">
        <v>246</v>
      </c>
      <c r="D26" s="2"/>
      <c r="E26" s="2" t="s">
        <v>135</v>
      </c>
      <c r="F26" s="2" t="s">
        <v>247</v>
      </c>
      <c r="G26" s="8" t="s">
        <v>248</v>
      </c>
      <c r="H26" s="2" t="s">
        <v>249</v>
      </c>
      <c r="I26" s="2"/>
      <c r="J26" s="2" t="s">
        <v>6</v>
      </c>
      <c r="K26" s="2"/>
      <c r="L26" s="2"/>
      <c r="M26" s="9">
        <v>45947.073067456</v>
      </c>
    </row>
  </sheetData>
  <conditionalFormatting sqref="J2:J9993">
    <cfRule type="expression" dxfId="2" priority="1">
      <formula>$J2="通过"</formula>
    </cfRule>
    <cfRule type="expression" dxfId="0" priority="2">
      <formula>$J2="失败"</formula>
    </cfRule>
    <cfRule type="expression" dxfId="1" priority="3">
      <formula>$J2="阻塞"</formula>
    </cfRule>
  </conditionalFormatting>
  <dataValidations count="4">
    <dataValidation type="list" allowBlank="1" showInputMessage="1" showErrorMessage="1" sqref="D2:D9993">
      <formula1>"P0,P1,P2,P3"</formula1>
    </dataValidation>
    <dataValidation type="list" allowBlank="1" showInputMessage="1" showErrorMessage="1" sqref="E2:E9993">
      <formula1>"功能,接口,回归,冒烟,性能,安全,兼容"</formula1>
    </dataValidation>
    <dataValidation type="list" allowBlank="1" showInputMessage="1" showErrorMessage="1" sqref="J2:J9993">
      <formula1>"通过,失败,阻塞,跳过"</formula1>
    </dataValidation>
    <dataValidation type="date" operator="greaterThanOrEqual" allowBlank="1" showInputMessage="1" showErrorMessage="1" sqref="M2:M9993">
      <formula1>1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pane ySplit="1" topLeftCell="A2" activePane="bottomLeft" state="frozen"/>
      <selection/>
      <selection pane="bottomLeft" activeCell="D21" sqref="D21"/>
    </sheetView>
  </sheetViews>
  <sheetFormatPr defaultColWidth="9" defaultRowHeight="13.5" outlineLevelCol="6"/>
  <cols>
    <col min="1" max="1" width="18.7083333333333" customWidth="1"/>
    <col min="2" max="7" width="12.7083333333333" customWidth="1"/>
  </cols>
  <sheetData>
    <row r="1" ht="24" customHeight="1" spans="1:7">
      <c r="A1" s="1" t="s">
        <v>43</v>
      </c>
      <c r="B1" s="1" t="s">
        <v>250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251</v>
      </c>
    </row>
    <row r="2" spans="1:7">
      <c r="A2" s="2"/>
      <c r="B2" s="4">
        <f>COUNTIF(执行记录!B:B,$A2)</f>
        <v>0</v>
      </c>
      <c r="C2" s="4">
        <f>COUNTIFS(执行记录!B:B,$A2,执行记录!J:J,"通过")</f>
        <v>0</v>
      </c>
      <c r="D2" s="4">
        <f>COUNTIFS(执行记录!B:B,$A2,执行记录!J:J,"失败")</f>
        <v>0</v>
      </c>
      <c r="E2" s="4">
        <f>COUNTIFS(执行记录!B:B,$A2,执行记录!J:J,"阻塞")</f>
        <v>0</v>
      </c>
      <c r="F2" s="4">
        <f>COUNTIFS(执行记录!B:B,$A2,执行记录!J:J,"跳过")</f>
        <v>0</v>
      </c>
      <c r="G2" s="5" t="str">
        <f t="shared" ref="G2:G21" si="0">IF(B2&gt;0,(C2)/(B2),"")</f>
        <v/>
      </c>
    </row>
    <row r="3" spans="1:7">
      <c r="A3" s="2"/>
      <c r="B3" s="4">
        <f>COUNTIF(执行记录!B:B,$A3)</f>
        <v>0</v>
      </c>
      <c r="C3" s="4">
        <f>COUNTIFS(执行记录!B:B,$A3,执行记录!J:J,"通过")</f>
        <v>0</v>
      </c>
      <c r="D3" s="4">
        <f>COUNTIFS(执行记录!B:B,$A3,执行记录!J:J,"失败")</f>
        <v>0</v>
      </c>
      <c r="E3" s="4">
        <f>COUNTIFS(执行记录!B:B,$A3,执行记录!J:J,"阻塞")</f>
        <v>0</v>
      </c>
      <c r="F3" s="4">
        <f>COUNTIFS(执行记录!B:B,$A3,执行记录!J:J,"跳过")</f>
        <v>0</v>
      </c>
      <c r="G3" s="5" t="str">
        <f t="shared" si="0"/>
        <v/>
      </c>
    </row>
    <row r="4" spans="1:7">
      <c r="A4" s="2"/>
      <c r="B4" s="4">
        <f>COUNTIF(执行记录!B:B,$A4)</f>
        <v>0</v>
      </c>
      <c r="C4" s="4">
        <f>COUNTIFS(执行记录!B:B,$A4,执行记录!J:J,"通过")</f>
        <v>0</v>
      </c>
      <c r="D4" s="4">
        <f>COUNTIFS(执行记录!B:B,$A4,执行记录!J:J,"失败")</f>
        <v>0</v>
      </c>
      <c r="E4" s="4">
        <f>COUNTIFS(执行记录!B:B,$A4,执行记录!J:J,"阻塞")</f>
        <v>0</v>
      </c>
      <c r="F4" s="4">
        <f>COUNTIFS(执行记录!B:B,$A4,执行记录!J:J,"跳过")</f>
        <v>0</v>
      </c>
      <c r="G4" s="5" t="str">
        <f t="shared" si="0"/>
        <v/>
      </c>
    </row>
    <row r="5" spans="1:7">
      <c r="A5" s="2"/>
      <c r="B5" s="4">
        <f>COUNTIF(执行记录!B:B,$A5)</f>
        <v>0</v>
      </c>
      <c r="C5" s="4">
        <f>COUNTIFS(执行记录!B:B,$A5,执行记录!J:J,"通过")</f>
        <v>0</v>
      </c>
      <c r="D5" s="4">
        <f>COUNTIFS(执行记录!B:B,$A5,执行记录!J:J,"失败")</f>
        <v>0</v>
      </c>
      <c r="E5" s="4">
        <f>COUNTIFS(执行记录!B:B,$A5,执行记录!J:J,"阻塞")</f>
        <v>0</v>
      </c>
      <c r="F5" s="4">
        <f>COUNTIFS(执行记录!B:B,$A5,执行记录!J:J,"跳过")</f>
        <v>0</v>
      </c>
      <c r="G5" s="5" t="str">
        <f t="shared" si="0"/>
        <v/>
      </c>
    </row>
    <row r="6" spans="1:7">
      <c r="A6" s="2"/>
      <c r="B6" s="4">
        <f>COUNTIF(执行记录!B:B,$A6)</f>
        <v>0</v>
      </c>
      <c r="C6" s="4">
        <f>COUNTIFS(执行记录!B:B,$A6,执行记录!J:J,"通过")</f>
        <v>0</v>
      </c>
      <c r="D6" s="4">
        <f>COUNTIFS(执行记录!B:B,$A6,执行记录!J:J,"失败")</f>
        <v>0</v>
      </c>
      <c r="E6" s="4">
        <f>COUNTIFS(执行记录!B:B,$A6,执行记录!J:J,"阻塞")</f>
        <v>0</v>
      </c>
      <c r="F6" s="4">
        <f>COUNTIFS(执行记录!B:B,$A6,执行记录!J:J,"跳过")</f>
        <v>0</v>
      </c>
      <c r="G6" s="5" t="str">
        <f t="shared" si="0"/>
        <v/>
      </c>
    </row>
    <row r="7" spans="1:7">
      <c r="A7" s="2"/>
      <c r="B7" s="4">
        <f>COUNTIF(执行记录!B:B,$A7)</f>
        <v>0</v>
      </c>
      <c r="C7" s="4">
        <f>COUNTIFS(执行记录!B:B,$A7,执行记录!J:J,"通过")</f>
        <v>0</v>
      </c>
      <c r="D7" s="4">
        <f>COUNTIFS(执行记录!B:B,$A7,执行记录!J:J,"失败")</f>
        <v>0</v>
      </c>
      <c r="E7" s="4">
        <f>COUNTIFS(执行记录!B:B,$A7,执行记录!J:J,"阻塞")</f>
        <v>0</v>
      </c>
      <c r="F7" s="4">
        <f>COUNTIFS(执行记录!B:B,$A7,执行记录!J:J,"跳过")</f>
        <v>0</v>
      </c>
      <c r="G7" s="5" t="str">
        <f t="shared" si="0"/>
        <v/>
      </c>
    </row>
    <row r="8" spans="1:7">
      <c r="A8" s="2"/>
      <c r="B8" s="4">
        <f>COUNTIF(执行记录!B:B,$A8)</f>
        <v>0</v>
      </c>
      <c r="C8" s="4">
        <f>COUNTIFS(执行记录!B:B,$A8,执行记录!J:J,"通过")</f>
        <v>0</v>
      </c>
      <c r="D8" s="4">
        <f>COUNTIFS(执行记录!B:B,$A8,执行记录!J:J,"失败")</f>
        <v>0</v>
      </c>
      <c r="E8" s="4">
        <f>COUNTIFS(执行记录!B:B,$A8,执行记录!J:J,"阻塞")</f>
        <v>0</v>
      </c>
      <c r="F8" s="4">
        <f>COUNTIFS(执行记录!B:B,$A8,执行记录!J:J,"跳过")</f>
        <v>0</v>
      </c>
      <c r="G8" s="5" t="str">
        <f t="shared" si="0"/>
        <v/>
      </c>
    </row>
    <row r="9" spans="1:7">
      <c r="A9" s="2"/>
      <c r="B9" s="4">
        <f>COUNTIF(执行记录!B:B,$A9)</f>
        <v>0</v>
      </c>
      <c r="C9" s="4">
        <f>COUNTIFS(执行记录!B:B,$A9,执行记录!J:J,"通过")</f>
        <v>0</v>
      </c>
      <c r="D9" s="4">
        <f>COUNTIFS(执行记录!B:B,$A9,执行记录!J:J,"失败")</f>
        <v>0</v>
      </c>
      <c r="E9" s="4">
        <f>COUNTIFS(执行记录!B:B,$A9,执行记录!J:J,"阻塞")</f>
        <v>0</v>
      </c>
      <c r="F9" s="4">
        <f>COUNTIFS(执行记录!B:B,$A9,执行记录!J:J,"跳过")</f>
        <v>0</v>
      </c>
      <c r="G9" s="5" t="str">
        <f t="shared" si="0"/>
        <v/>
      </c>
    </row>
    <row r="10" spans="1:7">
      <c r="A10" s="2"/>
      <c r="B10" s="4">
        <f>COUNTIF(执行记录!B:B,$A10)</f>
        <v>0</v>
      </c>
      <c r="C10" s="4">
        <f>COUNTIFS(执行记录!B:B,$A10,执行记录!J:J,"通过")</f>
        <v>0</v>
      </c>
      <c r="D10" s="4">
        <f>COUNTIFS(执行记录!B:B,$A10,执行记录!J:J,"失败")</f>
        <v>0</v>
      </c>
      <c r="E10" s="4">
        <f>COUNTIFS(执行记录!B:B,$A10,执行记录!J:J,"阻塞")</f>
        <v>0</v>
      </c>
      <c r="F10" s="4">
        <f>COUNTIFS(执行记录!B:B,$A10,执行记录!J:J,"跳过")</f>
        <v>0</v>
      </c>
      <c r="G10" s="5" t="str">
        <f t="shared" si="0"/>
        <v/>
      </c>
    </row>
    <row r="11" spans="1:7">
      <c r="A11" s="2"/>
      <c r="B11" s="4">
        <f>COUNTIF(执行记录!B:B,$A11)</f>
        <v>0</v>
      </c>
      <c r="C11" s="4">
        <f>COUNTIFS(执行记录!B:B,$A11,执行记录!J:J,"通过")</f>
        <v>0</v>
      </c>
      <c r="D11" s="4">
        <f>COUNTIFS(执行记录!B:B,$A11,执行记录!J:J,"失败")</f>
        <v>0</v>
      </c>
      <c r="E11" s="4">
        <f>COUNTIFS(执行记录!B:B,$A11,执行记录!J:J,"阻塞")</f>
        <v>0</v>
      </c>
      <c r="F11" s="4">
        <f>COUNTIFS(执行记录!B:B,$A11,执行记录!J:J,"跳过")</f>
        <v>0</v>
      </c>
      <c r="G11" s="5" t="str">
        <f t="shared" si="0"/>
        <v/>
      </c>
    </row>
    <row r="12" spans="1:7">
      <c r="A12" s="2"/>
      <c r="B12" s="4">
        <f>COUNTIF(执行记录!B:B,$A12)</f>
        <v>0</v>
      </c>
      <c r="C12" s="4">
        <f>COUNTIFS(执行记录!B:B,$A12,执行记录!J:J,"通过")</f>
        <v>0</v>
      </c>
      <c r="D12" s="4">
        <f>COUNTIFS(执行记录!B:B,$A12,执行记录!J:J,"失败")</f>
        <v>0</v>
      </c>
      <c r="E12" s="4">
        <f>COUNTIFS(执行记录!B:B,$A12,执行记录!J:J,"阻塞")</f>
        <v>0</v>
      </c>
      <c r="F12" s="4">
        <f>COUNTIFS(执行记录!B:B,$A12,执行记录!J:J,"跳过")</f>
        <v>0</v>
      </c>
      <c r="G12" s="5" t="str">
        <f t="shared" si="0"/>
        <v/>
      </c>
    </row>
    <row r="13" spans="1:7">
      <c r="A13" s="2"/>
      <c r="B13" s="4">
        <f>COUNTIF(执行记录!B:B,$A13)</f>
        <v>0</v>
      </c>
      <c r="C13" s="4">
        <f>COUNTIFS(执行记录!B:B,$A13,执行记录!J:J,"通过")</f>
        <v>0</v>
      </c>
      <c r="D13" s="4">
        <f>COUNTIFS(执行记录!B:B,$A13,执行记录!J:J,"失败")</f>
        <v>0</v>
      </c>
      <c r="E13" s="4">
        <f>COUNTIFS(执行记录!B:B,$A13,执行记录!J:J,"阻塞")</f>
        <v>0</v>
      </c>
      <c r="F13" s="4">
        <f>COUNTIFS(执行记录!B:B,$A13,执行记录!J:J,"跳过")</f>
        <v>0</v>
      </c>
      <c r="G13" s="5" t="str">
        <f t="shared" si="0"/>
        <v/>
      </c>
    </row>
    <row r="14" spans="1:7">
      <c r="A14" s="2"/>
      <c r="B14" s="4">
        <f>COUNTIF(执行记录!B:B,$A14)</f>
        <v>0</v>
      </c>
      <c r="C14" s="4">
        <f>COUNTIFS(执行记录!B:B,$A14,执行记录!J:J,"通过")</f>
        <v>0</v>
      </c>
      <c r="D14" s="4">
        <f>COUNTIFS(执行记录!B:B,$A14,执行记录!J:J,"失败")</f>
        <v>0</v>
      </c>
      <c r="E14" s="4">
        <f>COUNTIFS(执行记录!B:B,$A14,执行记录!J:J,"阻塞")</f>
        <v>0</v>
      </c>
      <c r="F14" s="4">
        <f>COUNTIFS(执行记录!B:B,$A14,执行记录!J:J,"跳过")</f>
        <v>0</v>
      </c>
      <c r="G14" s="5" t="str">
        <f t="shared" si="0"/>
        <v/>
      </c>
    </row>
    <row r="15" spans="1:7">
      <c r="A15" s="2"/>
      <c r="B15" s="4">
        <f>COUNTIF(执行记录!B:B,$A15)</f>
        <v>0</v>
      </c>
      <c r="C15" s="4">
        <f>COUNTIFS(执行记录!B:B,$A15,执行记录!J:J,"通过")</f>
        <v>0</v>
      </c>
      <c r="D15" s="4">
        <f>COUNTIFS(执行记录!B:B,$A15,执行记录!J:J,"失败")</f>
        <v>0</v>
      </c>
      <c r="E15" s="4">
        <f>COUNTIFS(执行记录!B:B,$A15,执行记录!J:J,"阻塞")</f>
        <v>0</v>
      </c>
      <c r="F15" s="4">
        <f>COUNTIFS(执行记录!B:B,$A15,执行记录!J:J,"跳过")</f>
        <v>0</v>
      </c>
      <c r="G15" s="5" t="str">
        <f t="shared" si="0"/>
        <v/>
      </c>
    </row>
    <row r="16" spans="1:7">
      <c r="A16" s="2"/>
      <c r="B16" s="4">
        <f>COUNTIF(执行记录!B:B,$A16)</f>
        <v>0</v>
      </c>
      <c r="C16" s="4">
        <f>COUNTIFS(执行记录!B:B,$A16,执行记录!J:J,"通过")</f>
        <v>0</v>
      </c>
      <c r="D16" s="4">
        <f>COUNTIFS(执行记录!B:B,$A16,执行记录!J:J,"失败")</f>
        <v>0</v>
      </c>
      <c r="E16" s="4">
        <f>COUNTIFS(执行记录!B:B,$A16,执行记录!J:J,"阻塞")</f>
        <v>0</v>
      </c>
      <c r="F16" s="4">
        <f>COUNTIFS(执行记录!B:B,$A16,执行记录!J:J,"跳过")</f>
        <v>0</v>
      </c>
      <c r="G16" s="5" t="str">
        <f t="shared" si="0"/>
        <v/>
      </c>
    </row>
    <row r="17" spans="1:7">
      <c r="A17" s="2"/>
      <c r="B17" s="4">
        <f>COUNTIF(执行记录!B:B,$A17)</f>
        <v>0</v>
      </c>
      <c r="C17" s="4">
        <f>COUNTIFS(执行记录!B:B,$A17,执行记录!J:J,"通过")</f>
        <v>0</v>
      </c>
      <c r="D17" s="4">
        <f>COUNTIFS(执行记录!B:B,$A17,执行记录!J:J,"失败")</f>
        <v>0</v>
      </c>
      <c r="E17" s="4">
        <f>COUNTIFS(执行记录!B:B,$A17,执行记录!J:J,"阻塞")</f>
        <v>0</v>
      </c>
      <c r="F17" s="4">
        <f>COUNTIFS(执行记录!B:B,$A17,执行记录!J:J,"跳过")</f>
        <v>0</v>
      </c>
      <c r="G17" s="5" t="str">
        <f t="shared" si="0"/>
        <v/>
      </c>
    </row>
    <row r="18" spans="1:7">
      <c r="A18" s="2"/>
      <c r="B18" s="4">
        <f>COUNTIF(执行记录!B:B,$A18)</f>
        <v>0</v>
      </c>
      <c r="C18" s="4">
        <f>COUNTIFS(执行记录!B:B,$A18,执行记录!J:J,"通过")</f>
        <v>0</v>
      </c>
      <c r="D18" s="4">
        <f>COUNTIFS(执行记录!B:B,$A18,执行记录!J:J,"失败")</f>
        <v>0</v>
      </c>
      <c r="E18" s="4">
        <f>COUNTIFS(执行记录!B:B,$A18,执行记录!J:J,"阻塞")</f>
        <v>0</v>
      </c>
      <c r="F18" s="4">
        <f>COUNTIFS(执行记录!B:B,$A18,执行记录!J:J,"跳过")</f>
        <v>0</v>
      </c>
      <c r="G18" s="5" t="str">
        <f t="shared" si="0"/>
        <v/>
      </c>
    </row>
    <row r="19" spans="1:7">
      <c r="A19" s="2"/>
      <c r="B19" s="4">
        <f>COUNTIF(执行记录!B:B,$A19)</f>
        <v>0</v>
      </c>
      <c r="C19" s="4">
        <f>COUNTIFS(执行记录!B:B,$A19,执行记录!J:J,"通过")</f>
        <v>0</v>
      </c>
      <c r="D19" s="4">
        <f>COUNTIFS(执行记录!B:B,$A19,执行记录!J:J,"失败")</f>
        <v>0</v>
      </c>
      <c r="E19" s="4">
        <f>COUNTIFS(执行记录!B:B,$A19,执行记录!J:J,"阻塞")</f>
        <v>0</v>
      </c>
      <c r="F19" s="4">
        <f>COUNTIFS(执行记录!B:B,$A19,执行记录!J:J,"跳过")</f>
        <v>0</v>
      </c>
      <c r="G19" s="5" t="str">
        <f t="shared" si="0"/>
        <v/>
      </c>
    </row>
    <row r="20" spans="1:7">
      <c r="A20" s="2"/>
      <c r="B20" s="4">
        <f>COUNTIF(执行记录!B:B,$A20)</f>
        <v>0</v>
      </c>
      <c r="C20" s="4">
        <f>COUNTIFS(执行记录!B:B,$A20,执行记录!J:J,"通过")</f>
        <v>0</v>
      </c>
      <c r="D20" s="4">
        <f>COUNTIFS(执行记录!B:B,$A20,执行记录!J:J,"失败")</f>
        <v>0</v>
      </c>
      <c r="E20" s="4">
        <f>COUNTIFS(执行记录!B:B,$A20,执行记录!J:J,"阻塞")</f>
        <v>0</v>
      </c>
      <c r="F20" s="4">
        <f>COUNTIFS(执行记录!B:B,$A20,执行记录!J:J,"跳过")</f>
        <v>0</v>
      </c>
      <c r="G20" s="5" t="str">
        <f t="shared" si="0"/>
        <v/>
      </c>
    </row>
    <row r="21" spans="1:7">
      <c r="A21" s="2"/>
      <c r="B21" s="4">
        <f>COUNTIF(执行记录!B:B,$A21)</f>
        <v>0</v>
      </c>
      <c r="C21" s="4">
        <f>COUNTIFS(执行记录!B:B,$A21,执行记录!J:J,"通过")</f>
        <v>0</v>
      </c>
      <c r="D21" s="4">
        <f>COUNTIFS(执行记录!B:B,$A21,执行记录!J:J,"失败")</f>
        <v>0</v>
      </c>
      <c r="E21" s="4">
        <f>COUNTIFS(执行记录!B:B,$A21,执行记录!J:J,"阻塞")</f>
        <v>0</v>
      </c>
      <c r="F21" s="4">
        <f>COUNTIFS(执行记录!B:B,$A21,执行记录!J:J,"跳过")</f>
        <v>0</v>
      </c>
      <c r="G21" s="5" t="str">
        <f t="shared" si="0"/>
        <v/>
      </c>
    </row>
    <row r="23" spans="1:7">
      <c r="A23" s="6" t="s">
        <v>252</v>
      </c>
      <c r="B23" s="4">
        <f>SUM(B2:B21)</f>
        <v>0</v>
      </c>
      <c r="C23" s="4">
        <f>SUM(C2:C21)</f>
        <v>0</v>
      </c>
      <c r="D23" s="4">
        <f>SUM(D2:D21)</f>
        <v>0</v>
      </c>
      <c r="E23" s="4">
        <f>SUM(E2:E21)</f>
        <v>0</v>
      </c>
      <c r="F23" s="4">
        <f>SUM(F2:F21)</f>
        <v>0</v>
      </c>
      <c r="G23" s="5" t="str">
        <f>IF(B23&gt;0,C23/B23,"")</f>
        <v/>
      </c>
    </row>
    <row r="25" spans="1:1">
      <c r="A25" s="7" t="s">
        <v>253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pane ySplit="1" topLeftCell="A2" activePane="bottomLeft" state="frozen"/>
      <selection/>
      <selection pane="bottomLeft" activeCell="C39" sqref="C39"/>
    </sheetView>
  </sheetViews>
  <sheetFormatPr defaultColWidth="9" defaultRowHeight="13.5" outlineLevelCol="6"/>
  <cols>
    <col min="1" max="1" width="36.7083333333333" customWidth="1"/>
    <col min="2" max="2" width="30.7083333333333" customWidth="1"/>
    <col min="3" max="3" width="10.7083333333333" customWidth="1"/>
    <col min="4" max="4" width="36.7083333333333" customWidth="1"/>
    <col min="5" max="5" width="12.7083333333333" customWidth="1"/>
    <col min="6" max="6" width="14.7083333333333" customWidth="1"/>
    <col min="7" max="7" width="12.7083333333333" customWidth="1"/>
  </cols>
  <sheetData>
    <row r="1" spans="1:7">
      <c r="A1" s="1" t="s">
        <v>254</v>
      </c>
      <c r="B1" s="1" t="s">
        <v>255</v>
      </c>
      <c r="C1" s="1" t="s">
        <v>45</v>
      </c>
      <c r="D1" s="1" t="s">
        <v>256</v>
      </c>
      <c r="E1" s="1" t="s">
        <v>51</v>
      </c>
      <c r="F1" s="1" t="s">
        <v>257</v>
      </c>
      <c r="G1" s="1" t="s">
        <v>52</v>
      </c>
    </row>
  </sheetData>
  <dataValidations count="3">
    <dataValidation type="list" allowBlank="1" showInputMessage="1" showErrorMessage="1" sqref="C2:C10001">
      <formula1>"P0,P1,P2,P3"</formula1>
    </dataValidation>
    <dataValidation type="date" operator="greaterThanOrEqual" allowBlank="1" showInputMessage="1" showErrorMessage="1" sqref="F2:F10001">
      <formula1>1</formula1>
    </dataValidation>
    <dataValidation type="list" allowBlank="1" showInputMessage="1" showErrorMessage="1" sqref="G2:G10001">
      <formula1>"未开始,进行中,已完成"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pane ySplit="1" topLeftCell="A2" activePane="bottomLeft" state="frozen"/>
      <selection/>
      <selection pane="bottomLeft" activeCell="C35" sqref="C35"/>
    </sheetView>
  </sheetViews>
  <sheetFormatPr defaultColWidth="9" defaultRowHeight="13.5" outlineLevelCol="3"/>
  <cols>
    <col min="1" max="1" width="18.7083333333333" customWidth="1"/>
    <col min="2" max="2" width="48.7083333333333" customWidth="1"/>
    <col min="3" max="3" width="10.7083333333333" customWidth="1"/>
    <col min="4" max="4" width="30.7083333333333" customWidth="1"/>
  </cols>
  <sheetData>
    <row r="1" spans="1:4">
      <c r="A1" s="1" t="s">
        <v>43</v>
      </c>
      <c r="B1" s="1" t="s">
        <v>258</v>
      </c>
      <c r="C1" s="1" t="s">
        <v>259</v>
      </c>
      <c r="D1" s="1" t="s">
        <v>41</v>
      </c>
    </row>
  </sheetData>
  <conditionalFormatting sqref="C2:C10001">
    <cfRule type="expression" dxfId="2" priority="1">
      <formula>$C2="已覆盖"</formula>
    </cfRule>
    <cfRule type="expression" dxfId="0" priority="2">
      <formula>$C2="未覆盖"</formula>
    </cfRule>
    <cfRule type="expression" dxfId="1" priority="3">
      <formula>$C2="部分覆盖"</formula>
    </cfRule>
  </conditionalFormatting>
  <dataValidations count="1">
    <dataValidation type="list" allowBlank="1" showInputMessage="1" showErrorMessage="1" sqref="C2:C10001">
      <formula1>"已覆盖,部分覆盖,未覆盖"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E40" sqref="E40"/>
    </sheetView>
  </sheetViews>
  <sheetFormatPr defaultColWidth="9" defaultRowHeight="13.5" outlineLevelRow="7" outlineLevelCol="1"/>
  <cols>
    <col min="1" max="1" width="26.7083333333333" customWidth="1"/>
    <col min="2" max="2" width="18" customWidth="1"/>
  </cols>
  <sheetData>
    <row r="1" spans="1:2">
      <c r="A1" s="1" t="s">
        <v>260</v>
      </c>
      <c r="B1" s="1" t="s">
        <v>261</v>
      </c>
    </row>
    <row r="2" spans="1:2">
      <c r="A2" s="2" t="s">
        <v>4</v>
      </c>
      <c r="B2">
        <v>25</v>
      </c>
    </row>
    <row r="3" spans="1:2">
      <c r="A3" s="2" t="s">
        <v>6</v>
      </c>
      <c r="B3">
        <v>23</v>
      </c>
    </row>
    <row r="4" spans="1:2">
      <c r="A4" s="2" t="s">
        <v>8</v>
      </c>
      <c r="B4">
        <v>0</v>
      </c>
    </row>
    <row r="5" spans="1:2">
      <c r="A5" s="2" t="s">
        <v>10</v>
      </c>
      <c r="B5">
        <v>0</v>
      </c>
    </row>
    <row r="6" spans="1:2">
      <c r="A6" s="2" t="s">
        <v>12</v>
      </c>
      <c r="B6">
        <v>2</v>
      </c>
    </row>
    <row r="7" spans="1:2">
      <c r="A7" s="2" t="s">
        <v>262</v>
      </c>
      <c r="B7" t="s">
        <v>263</v>
      </c>
    </row>
    <row r="8" ht="15" spans="1:2">
      <c r="A8" s="2" t="s">
        <v>264</v>
      </c>
      <c r="B8" s="3" t="s">
        <v>265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概览</vt:lpstr>
      <vt:lpstr>环境信息</vt:lpstr>
      <vt:lpstr>缺陷汇总(BUG)</vt:lpstr>
      <vt:lpstr>执行记录</vt:lpstr>
      <vt:lpstr>用例统计</vt:lpstr>
      <vt:lpstr>风险与建议</vt:lpstr>
      <vt:lpstr>模块覆盖</vt:lpstr>
      <vt:lpstr>附_Allure粘贴(可选)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Moegen_Q</cp:lastModifiedBy>
  <dcterms:created xsi:type="dcterms:W3CDTF">2025-10-17T01:45:00Z</dcterms:created>
  <dcterms:modified xsi:type="dcterms:W3CDTF">2025-10-22T10:07:29Z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42F01037341C4C838F5B6E6290BAFB05_12</vt:lpwstr>
  </property>
  <property fmtid="{D5CDD505-2E9C-101B-9397-08002B2CF9AE}" pid="3" name="KSOProductBuildVer">
    <vt:lpwstr>2052-12.1.0.23125</vt:lpwstr>
  </property>
</Properties>
</file>